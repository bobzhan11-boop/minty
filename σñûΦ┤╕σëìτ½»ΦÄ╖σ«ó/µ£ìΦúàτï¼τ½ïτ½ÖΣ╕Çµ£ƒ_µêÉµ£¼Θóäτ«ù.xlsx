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成本总览" sheetId="2" state="visible" r:id="rId2"/>
    <sheet xmlns:r="http://schemas.openxmlformats.org/officeDocument/2006/relationships" name="审核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D97706"/>
      <sz val="9"/>
    </font>
    <font>
      <name val="Calibri"/>
      <b val="1"/>
      <color rgb="00FFFFFF"/>
      <sz val="10"/>
    </font>
    <font>
      <name val="Calibri"/>
      <color rgb="00374151"/>
      <sz val="9"/>
    </font>
    <font>
      <name val="Calibri"/>
      <b val="1"/>
      <color rgb="001C1C1E"/>
      <sz val="10"/>
    </font>
    <font>
      <name val="Calibri"/>
      <color rgb="004B5563"/>
      <sz val="9"/>
    </font>
    <font>
      <name val="Calibri"/>
      <b val="1"/>
      <color rgb="0015803D"/>
      <sz val="9"/>
    </font>
    <font>
      <name val="Calibri"/>
      <color rgb="009CA3AF"/>
      <sz val="9"/>
    </font>
    <font>
      <name val="Calibri"/>
      <color rgb="001D4ED8"/>
      <sz val="10"/>
    </font>
    <font>
      <name val="Calibri"/>
      <color rgb="001C1C1E"/>
      <sz val="10"/>
    </font>
    <font>
      <name val="Calibri"/>
      <b val="1"/>
      <color rgb="00B45309"/>
      <sz val="9"/>
    </font>
    <font>
      <name val="Calibri"/>
      <b val="1"/>
      <color rgb="00374151"/>
      <sz val="9"/>
    </font>
    <font>
      <name val="Calibri"/>
      <b val="1"/>
      <color rgb="00B91C1C"/>
      <sz val="9"/>
    </font>
    <font>
      <name val="Calibri"/>
      <i val="1"/>
      <color rgb="009CA3AF"/>
      <sz val="9"/>
    </font>
    <font>
      <name val="Calibri"/>
      <b val="1"/>
      <color rgb="00FFFFFF"/>
      <sz val="12"/>
    </font>
    <font>
      <name val="Calibri"/>
      <b val="1"/>
      <color rgb="00D97706"/>
      <sz val="13"/>
    </font>
    <font>
      <name val="Calibri"/>
      <b val="1"/>
      <color rgb="00FFFFFF"/>
      <sz val="17"/>
    </font>
    <font>
      <name val="Calibri"/>
      <color rgb="00D97706"/>
      <sz val="10"/>
    </font>
    <font>
      <name val="Calibri"/>
      <b val="1"/>
      <color rgb="00FFFFFF"/>
      <sz val="13"/>
    </font>
    <font>
      <name val="Calibri"/>
      <b val="1"/>
      <color rgb="00FFFFFF"/>
      <sz val="24"/>
    </font>
    <font>
      <name val="Calibri"/>
      <i val="1"/>
      <color rgb="00B45309"/>
      <sz val="9"/>
    </font>
    <font>
      <name val="Calibri"/>
      <color rgb="00374151"/>
      <sz val="10"/>
    </font>
    <font>
      <name val="Calibri"/>
      <b val="1"/>
      <color rgb="00B45309"/>
      <sz val="10"/>
    </font>
    <font>
      <name val="Calibri"/>
      <b val="1"/>
      <color rgb="00FFFFFF"/>
      <sz val="11"/>
    </font>
    <font>
      <name val="Calibri"/>
      <b val="1"/>
      <color rgb="001D4ED8"/>
      <sz val="9"/>
    </font>
  </fonts>
  <fills count="12">
    <fill>
      <patternFill/>
    </fill>
    <fill>
      <patternFill patternType="gray125"/>
    </fill>
    <fill>
      <patternFill patternType="solid">
        <fgColor rgb="00111213"/>
      </patternFill>
    </fill>
    <fill>
      <patternFill patternType="solid">
        <fgColor rgb="001E2022"/>
      </patternFill>
    </fill>
    <fill>
      <patternFill patternType="solid">
        <fgColor rgb="00FAFAF8"/>
      </patternFill>
    </fill>
    <fill>
      <patternFill patternType="solid">
        <fgColor rgb="00F0FDF4"/>
      </patternFill>
    </fill>
    <fill>
      <patternFill patternType="solid">
        <fgColor rgb="00F3F4F6"/>
      </patternFill>
    </fill>
    <fill>
      <patternFill patternType="solid">
        <fgColor rgb="00FFFBEB"/>
      </patternFill>
    </fill>
    <fill>
      <patternFill patternType="solid">
        <fgColor rgb="00FFF1F2"/>
      </patternFill>
    </fill>
    <fill>
      <patternFill patternType="solid">
        <fgColor rgb="00374151"/>
      </patternFill>
    </fill>
    <fill>
      <patternFill patternType="solid">
        <fgColor rgb="00D97706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/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505050"/>
      </left>
      <right style="thin">
        <color rgb="00505050"/>
      </right>
      <top style="thin">
        <color rgb="00505050"/>
      </top>
      <bottom style="thin">
        <color rgb="00505050"/>
      </bottom>
    </border>
    <border>
      <left style="thin">
        <color rgb="00B45309"/>
      </left>
      <right style="thin">
        <color rgb="00B45309"/>
      </right>
      <top style="thin">
        <color rgb="00B45309"/>
      </top>
      <bottom style="thin">
        <color rgb="00B4530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3" fontId="9" fillId="4" borderId="2" applyAlignment="1" pivotButton="0" quotePrefix="0" xfId="0">
      <alignment horizontal="right" vertical="center" wrapText="1"/>
    </xf>
    <xf numFmtId="0" fontId="9" fillId="4" borderId="2" applyAlignment="1" pivotButton="0" quotePrefix="0" xfId="0">
      <alignment horizontal="center" vertical="center" wrapText="1"/>
    </xf>
    <xf numFmtId="3" fontId="10" fillId="4" borderId="2" applyAlignment="1" pivotButton="0" quotePrefix="0" xfId="0">
      <alignment horizontal="right" vertical="center" wrapText="1"/>
    </xf>
    <xf numFmtId="3" fontId="5" fillId="4" borderId="2" applyAlignment="1" pivotButton="0" quotePrefix="0" xfId="0">
      <alignment horizontal="right" vertical="center" wrapText="1"/>
    </xf>
    <xf numFmtId="0" fontId="14" fillId="4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3" fontId="9" fillId="6" borderId="2" applyAlignment="1" pivotButton="0" quotePrefix="0" xfId="0">
      <alignment horizontal="right" vertical="center" wrapText="1"/>
    </xf>
    <xf numFmtId="0" fontId="9" fillId="6" borderId="2" applyAlignment="1" pivotButton="0" quotePrefix="0" xfId="0">
      <alignment horizontal="center" vertical="center" wrapText="1"/>
    </xf>
    <xf numFmtId="3" fontId="10" fillId="6" borderId="2" applyAlignment="1" pivotButton="0" quotePrefix="0" xfId="0">
      <alignment horizontal="right" vertical="center" wrapText="1"/>
    </xf>
    <xf numFmtId="3" fontId="5" fillId="6" borderId="2" applyAlignment="1" pivotButton="0" quotePrefix="0" xfId="0">
      <alignment horizontal="right" vertical="center" wrapText="1"/>
    </xf>
    <xf numFmtId="0" fontId="14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15" fillId="3" borderId="2" applyAlignment="1" pivotButton="0" quotePrefix="0" xfId="0">
      <alignment horizontal="left" vertical="center" wrapText="1"/>
    </xf>
    <xf numFmtId="3" fontId="16" fillId="3" borderId="3" applyAlignment="1" pivotButton="0" quotePrefix="0" xfId="0">
      <alignment horizontal="right" vertical="center"/>
    </xf>
    <xf numFmtId="0" fontId="0" fillId="3" borderId="3" pivotButton="0" quotePrefix="0" xfId="0"/>
    <xf numFmtId="0" fontId="14" fillId="0" borderId="1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164" fontId="20" fillId="9" borderId="3" applyAlignment="1" pivotButton="0" quotePrefix="0" xfId="0">
      <alignment horizontal="center" vertical="center"/>
    </xf>
    <xf numFmtId="164" fontId="20" fillId="10" borderId="4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3" fontId="22" fillId="4" borderId="2" applyAlignment="1" pivotButton="0" quotePrefix="0" xfId="0">
      <alignment horizontal="right" vertical="center" wrapText="1"/>
    </xf>
    <xf numFmtId="3" fontId="23" fillId="4" borderId="2" applyAlignment="1" pivotButton="0" quotePrefix="0" xfId="0">
      <alignment horizontal="right" vertical="center" wrapText="1"/>
    </xf>
    <xf numFmtId="0" fontId="10" fillId="6" borderId="2" applyAlignment="1" pivotButton="0" quotePrefix="0" xfId="0">
      <alignment horizontal="left" vertical="center" wrapText="1"/>
    </xf>
    <xf numFmtId="3" fontId="22" fillId="6" borderId="2" applyAlignment="1" pivotButton="0" quotePrefix="0" xfId="0">
      <alignment horizontal="right" vertical="center" wrapText="1"/>
    </xf>
    <xf numFmtId="3" fontId="23" fillId="6" borderId="2" applyAlignment="1" pivotButton="0" quotePrefix="0" xfId="0">
      <alignment horizontal="right" vertical="center" wrapText="1"/>
    </xf>
    <xf numFmtId="164" fontId="19" fillId="3" borderId="3" applyAlignment="1" pivotButton="0" quotePrefix="0" xfId="0">
      <alignment horizontal="right" vertical="center"/>
    </xf>
    <xf numFmtId="164" fontId="16" fillId="3" borderId="3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24" fillId="9" borderId="2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2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8" customWidth="1" min="4" max="4"/>
    <col width="8" customWidth="1" min="5" max="5"/>
    <col width="8" customWidth="1" min="6" max="6"/>
    <col width="6" customWidth="1" min="7" max="7"/>
    <col width="9" customWidth="1" min="8" max="8"/>
    <col width="9" customWidth="1" min="9" max="9"/>
    <col width="32" customWidth="1" min="10" max="10"/>
    <col width="32" customWidth="1" min="11" max="11"/>
  </cols>
  <sheetData>
    <row r="1" ht="36" customHeight="1">
      <c r="A1" s="1" t="inlineStr">
        <is>
          <t>费用明细表 · 服装独立站出海一期（2个月执行周期）</t>
        </is>
      </c>
    </row>
    <row r="2" ht="18" customHeight="1">
      <c r="A2" s="2" t="inlineStr">
        <is>
          <t>蓝色单元格 = 可手动调整的输入项  ·  方案A 保守  /  方案B 标准推荐  ·  人工薪资不计入</t>
        </is>
      </c>
    </row>
    <row r="3" ht="8" customHeight="1"/>
    <row r="4" ht="28" customHeight="1">
      <c r="A4" s="3" t="inlineStr">
        <is>
          <t>分类</t>
        </is>
      </c>
      <c r="B4" s="3" t="inlineStr">
        <is>
          <t>项目名称</t>
        </is>
      </c>
      <c r="C4" s="3" t="inlineStr">
        <is>
          <t>说明</t>
        </is>
      </c>
      <c r="D4" s="3" t="inlineStr">
        <is>
          <t>必要性</t>
        </is>
      </c>
      <c r="E4" s="3" t="inlineStr">
        <is>
          <t>单价A
(¥)</t>
        </is>
      </c>
      <c r="F4" s="3" t="inlineStr">
        <is>
          <t>单价B
(¥)</t>
        </is>
      </c>
      <c r="G4" s="3" t="inlineStr">
        <is>
          <t>数量</t>
        </is>
      </c>
      <c r="H4" s="3" t="inlineStr">
        <is>
          <t>方案A
合计</t>
        </is>
      </c>
      <c r="I4" s="3" t="inlineStr">
        <is>
          <t>方案B
合计</t>
        </is>
      </c>
      <c r="J4" s="3" t="inlineStr">
        <is>
          <t>备注 / 数据来源</t>
        </is>
      </c>
      <c r="K4" s="3" t="inlineStr">
        <is>
          <t>备注 / 数据来源</t>
        </is>
      </c>
    </row>
    <row r="5" ht="26" customHeight="1">
      <c r="A5" s="4" t="inlineStr">
        <is>
          <t>建站基础</t>
        </is>
      </c>
      <c r="B5" s="5" t="inlineStr">
        <is>
          <t>域名 (.com)</t>
        </is>
      </c>
      <c r="C5" s="6" t="inlineStr">
        <is>
          <t>品牌专属.com域名，首年注册费</t>
        </is>
      </c>
      <c r="D5" s="7" t="inlineStr">
        <is>
          <t>必须</t>
        </is>
      </c>
      <c r="E5" s="8" t="inlineStr">
        <is>
          <t>一次性</t>
        </is>
      </c>
      <c r="F5" s="9" t="n">
        <v>85</v>
      </c>
      <c r="G5" s="9" t="n">
        <v>85</v>
      </c>
      <c r="H5" s="10" t="n">
        <v>1</v>
      </c>
      <c r="I5" s="11">
        <f>F5*H5</f>
        <v/>
      </c>
      <c r="J5" s="12">
        <f>G5*H5</f>
        <v/>
      </c>
      <c r="K5" s="13" t="inlineStr">
        <is>
          <t>Namecheap/阿里云约¥70-100/年</t>
        </is>
      </c>
    </row>
    <row r="6" ht="42" customHeight="1">
      <c r="A6" s="14" t="inlineStr">
        <is>
          <t>建站基础</t>
        </is>
      </c>
      <c r="B6" s="15" t="inlineStr">
        <is>
          <t>云服务器</t>
        </is>
      </c>
      <c r="C6" s="16" t="inlineStr">
        <is>
          <t>方案A: Vercel/Netlify 静态托管（免费）
方案B: 腾讯云轻量 2核2G ¥99/月</t>
        </is>
      </c>
      <c r="D6" s="7" t="inlineStr">
        <is>
          <t>必须</t>
        </is>
      </c>
      <c r="E6" s="17" t="inlineStr">
        <is>
          <t>月费×2</t>
        </is>
      </c>
      <c r="F6" s="18" t="n">
        <v>0</v>
      </c>
      <c r="G6" s="18" t="n">
        <v>99</v>
      </c>
      <c r="H6" s="19" t="n">
        <v>2</v>
      </c>
      <c r="I6" s="20">
        <f>F6*H6</f>
        <v/>
      </c>
      <c r="J6" s="21">
        <f>G6*H6</f>
        <v/>
      </c>
      <c r="K6" s="22" t="inlineStr">
        <is>
          <t>纯展示站+表单场景Vercel免费版完全足够</t>
        </is>
      </c>
    </row>
    <row r="7" ht="26" customHeight="1">
      <c r="A7" s="4" t="inlineStr">
        <is>
          <t>建站基础</t>
        </is>
      </c>
      <c r="B7" s="5" t="inlineStr">
        <is>
          <t>SSL证书</t>
        </is>
      </c>
      <c r="C7" s="6" t="inlineStr">
        <is>
          <t>Let's Encrypt 免费HTTPS，随平台自动配置</t>
        </is>
      </c>
      <c r="D7" s="7" t="inlineStr">
        <is>
          <t>必须</t>
        </is>
      </c>
      <c r="E7" s="8" t="inlineStr">
        <is>
          <t>免费</t>
        </is>
      </c>
      <c r="F7" s="9" t="n">
        <v>0</v>
      </c>
      <c r="G7" s="9" t="n">
        <v>0</v>
      </c>
      <c r="H7" s="10" t="n">
        <v>1</v>
      </c>
      <c r="I7" s="11">
        <f>F7*H7</f>
        <v/>
      </c>
      <c r="J7" s="12">
        <f>G7*H7</f>
        <v/>
      </c>
      <c r="K7" s="13" t="inlineStr">
        <is>
          <t>Vercel/腾讯云均自动签发，零成本</t>
        </is>
      </c>
    </row>
    <row r="8" ht="42" customHeight="1">
      <c r="A8" s="14" t="inlineStr">
        <is>
          <t>AI开发工具</t>
        </is>
      </c>
      <c r="B8" s="15" t="inlineStr">
        <is>
          <t>AI编程助手 (Cursor)</t>
        </is>
      </c>
      <c r="C8" s="16" t="inlineStr">
        <is>
          <t>Vibecoding核心工具
方案A: 免费额度  方案B: Pro $20/月</t>
        </is>
      </c>
      <c r="D8" s="23" t="inlineStr">
        <is>
          <t>建议</t>
        </is>
      </c>
      <c r="E8" s="17" t="inlineStr">
        <is>
          <t>月费×2</t>
        </is>
      </c>
      <c r="F8" s="18" t="n">
        <v>0</v>
      </c>
      <c r="G8" s="18" t="n">
        <v>145</v>
      </c>
      <c r="H8" s="19" t="n">
        <v>2</v>
      </c>
      <c r="I8" s="20">
        <f>F8*H8</f>
        <v/>
      </c>
      <c r="J8" s="21">
        <f>G8*H8</f>
        <v/>
      </c>
      <c r="K8" s="22" t="inlineStr">
        <is>
          <t>¥145≈$20×7.25；Pro版含完整AI补全配额，免费版有月限额</t>
        </is>
      </c>
    </row>
    <row r="9" ht="42" customHeight="1">
      <c r="A9" s="4" t="inlineStr">
        <is>
          <t>设计工具</t>
        </is>
      </c>
      <c r="B9" s="5" t="inlineStr">
        <is>
          <t>Canva 设计订阅</t>
        </is>
      </c>
      <c r="C9" s="6" t="inlineStr">
        <is>
          <t>社媒内容/营销图文/产品主图制作
方案A: 免费版  方案B: Canva Pro ¥99/月</t>
        </is>
      </c>
      <c r="D9" s="23" t="inlineStr">
        <is>
          <t>建议</t>
        </is>
      </c>
      <c r="E9" s="8" t="inlineStr">
        <is>
          <t>月费×2</t>
        </is>
      </c>
      <c r="F9" s="9" t="n">
        <v>0</v>
      </c>
      <c r="G9" s="9" t="n">
        <v>99</v>
      </c>
      <c r="H9" s="10" t="n">
        <v>2</v>
      </c>
      <c r="I9" s="11">
        <f>F9*H9</f>
        <v/>
      </c>
      <c r="J9" s="12">
        <f>G9*H9</f>
        <v/>
      </c>
      <c r="K9" s="13" t="inlineStr">
        <is>
          <t>Pro版含背景移除/品牌套件；免费版Phase 1勉强可用</t>
        </is>
      </c>
    </row>
    <row r="10" ht="42" customHeight="1">
      <c r="A10" s="14" t="inlineStr">
        <is>
          <t>网络工具</t>
        </is>
      </c>
      <c r="B10" s="15" t="inlineStr">
        <is>
          <t>VPN 工具（2人）</t>
        </is>
      </c>
      <c r="C10" s="16" t="inlineStr">
        <is>
          <t>国内访问 TikTok / LinkedIn / Instagram 必需
¥30/人/月 × 2人</t>
        </is>
      </c>
      <c r="D10" s="7" t="inlineStr">
        <is>
          <t>必须</t>
        </is>
      </c>
      <c r="E10" s="17" t="inlineStr">
        <is>
          <t>月费×2</t>
        </is>
      </c>
      <c r="F10" s="18" t="n">
        <v>60</v>
      </c>
      <c r="G10" s="18" t="n">
        <v>60</v>
      </c>
      <c r="H10" s="19" t="n">
        <v>2</v>
      </c>
      <c r="I10" s="20">
        <f>F10*H10</f>
        <v/>
      </c>
      <c r="J10" s="21">
        <f>G10*H10</f>
        <v/>
      </c>
      <c r="K10" s="22" t="inlineStr">
        <is>
          <t>两方案相同，这是硬性必需项不可省</t>
        </is>
      </c>
    </row>
    <row r="11" ht="42" customHeight="1">
      <c r="A11" s="4" t="inlineStr">
        <is>
          <t>社媒账号</t>
        </is>
      </c>
      <c r="B11" s="5" t="inlineStr">
        <is>
          <t>TikTok 境外手机号</t>
        </is>
      </c>
      <c r="C11" s="6" t="inlineStr">
        <is>
          <t>注册 TikTok 国际版需境外号码
虚拟号服务(smsactivate.org等)</t>
        </is>
      </c>
      <c r="D11" s="7" t="inlineStr">
        <is>
          <t>必须</t>
        </is>
      </c>
      <c r="E11" s="8" t="inlineStr">
        <is>
          <t>一次性</t>
        </is>
      </c>
      <c r="F11" s="9" t="n">
        <v>30</v>
      </c>
      <c r="G11" s="9" t="n">
        <v>30</v>
      </c>
      <c r="H11" s="10" t="n">
        <v>1</v>
      </c>
      <c r="I11" s="11">
        <f>F11*H11</f>
        <v/>
      </c>
      <c r="J11" s="12">
        <f>G11*H11</f>
        <v/>
      </c>
      <c r="K11" s="13" t="inlineStr">
        <is>
          <t>约¥20-50/个；建议多备1个号以防封号</t>
        </is>
      </c>
    </row>
    <row r="12" ht="42" customHeight="1">
      <c r="A12" s="14" t="inlineStr">
        <is>
          <t>社媒账号</t>
        </is>
      </c>
      <c r="B12" s="15" t="inlineStr">
        <is>
          <t>LinkedIn Premium</t>
        </is>
      </c>
      <c r="C12" s="16" t="inlineStr">
        <is>
          <t>B2B主动开发：InMail + 高级买家搜索
方案A: 免费版  方案B: Premium $40/月</t>
        </is>
      </c>
      <c r="D12" s="24" t="inlineStr">
        <is>
          <t>可选</t>
        </is>
      </c>
      <c r="E12" s="17" t="inlineStr">
        <is>
          <t>月费×2</t>
        </is>
      </c>
      <c r="F12" s="18" t="n">
        <v>0</v>
      </c>
      <c r="G12" s="18" t="n">
        <v>290</v>
      </c>
      <c r="H12" s="19" t="n">
        <v>2</v>
      </c>
      <c r="I12" s="20">
        <f>F12*H12</f>
        <v/>
      </c>
      <c r="J12" s="21">
        <f>G12*H12</f>
        <v/>
      </c>
      <c r="K12" s="22" t="inlineStr">
        <is>
          <t>¥290≈$40×7.25；可只订1个月测试，显著提升B端触达效率</t>
        </is>
      </c>
    </row>
    <row r="13" ht="42" customHeight="1">
      <c r="A13" s="4" t="inlineStr">
        <is>
          <t>社媒账号</t>
        </is>
      </c>
      <c r="B13" s="5" t="inlineStr">
        <is>
          <t>认证蓝V (TikTok/INS)</t>
        </is>
      </c>
      <c r="C13" s="6" t="inlineStr">
        <is>
          <t>Phase 1 不建议，专注内容质量更重要
账号积累粉丝基数后再考虑</t>
        </is>
      </c>
      <c r="D13" s="25" t="inlineStr">
        <is>
          <t>不建议</t>
        </is>
      </c>
      <c r="E13" s="8" t="inlineStr">
        <is>
          <t>免费</t>
        </is>
      </c>
      <c r="F13" s="9" t="n">
        <v>0</v>
      </c>
      <c r="G13" s="9" t="n">
        <v>0</v>
      </c>
      <c r="H13" s="10" t="n">
        <v>1</v>
      </c>
      <c r="I13" s="11">
        <f>F13*H13</f>
        <v/>
      </c>
      <c r="J13" s="12">
        <f>G13*H13</f>
        <v/>
      </c>
      <c r="K13" s="13" t="inlineStr">
        <is>
          <t>两方案均不纳入，避免资源分散</t>
        </is>
      </c>
    </row>
    <row r="14" ht="42" customHeight="1">
      <c r="A14" s="14" t="inlineStr">
        <is>
          <t>商务通讯</t>
        </is>
      </c>
      <c r="B14" s="15" t="inlineStr">
        <is>
          <t>商务邮箱</t>
        </is>
      </c>
      <c r="C14" s="16" t="inlineStr">
        <is>
          <t>品牌域名邮箱 brand@yourdomain.com
Zoho Mail 1用户免费版</t>
        </is>
      </c>
      <c r="D14" s="23" t="inlineStr">
        <is>
          <t>建议</t>
        </is>
      </c>
      <c r="E14" s="17" t="inlineStr">
        <is>
          <t>免费</t>
        </is>
      </c>
      <c r="F14" s="18" t="n">
        <v>0</v>
      </c>
      <c r="G14" s="18" t="n">
        <v>0</v>
      </c>
      <c r="H14" s="19" t="n">
        <v>1</v>
      </c>
      <c r="I14" s="20">
        <f>F14*H14</f>
        <v/>
      </c>
      <c r="J14" s="21">
        <f>G14*H14</f>
        <v/>
      </c>
      <c r="K14" s="22" t="inlineStr">
        <is>
          <t>大幅提升B端可信度；Zoho免费版功能已满足需求</t>
        </is>
      </c>
    </row>
    <row r="15" ht="42" customHeight="1">
      <c r="A15" s="4" t="inlineStr">
        <is>
          <t>商务通讯</t>
        </is>
      </c>
      <c r="B15" s="5" t="inlineStr">
        <is>
          <t>WhatsApp Business</t>
        </is>
      </c>
      <c r="C15" s="6" t="inlineStr">
        <is>
          <t>全球B端客户首选即时通讯，免费
可与TikTok共用同一境外号</t>
        </is>
      </c>
      <c r="D15" s="7" t="inlineStr">
        <is>
          <t>必须</t>
        </is>
      </c>
      <c r="E15" s="8" t="inlineStr">
        <is>
          <t>免费</t>
        </is>
      </c>
      <c r="F15" s="9" t="n">
        <v>0</v>
      </c>
      <c r="G15" s="9" t="n">
        <v>0</v>
      </c>
      <c r="H15" s="10" t="n">
        <v>1</v>
      </c>
      <c r="I15" s="11">
        <f>F15*H15</f>
        <v/>
      </c>
      <c r="J15" s="12">
        <f>G15*H15</f>
        <v/>
      </c>
      <c r="K15" s="13" t="inlineStr">
        <is>
          <t>APP免费；务必开通，大部分海外买家首选WhatsApp沟通</t>
        </is>
      </c>
    </row>
    <row r="16" ht="42" customHeight="1">
      <c r="A16" s="14" t="inlineStr">
        <is>
          <t>产品验证</t>
        </is>
      </c>
      <c r="B16" s="15" t="inlineStr">
        <is>
          <t>POD 样品打样</t>
        </is>
      </c>
      <c r="C16" s="16" t="inlineStr">
        <is>
          <t>首批 3-5 件样品，推广前必须验证实物品质
避免客户投诉影响口碑</t>
        </is>
      </c>
      <c r="D16" s="23" t="inlineStr">
        <is>
          <t>建议</t>
        </is>
      </c>
      <c r="E16" s="17" t="inlineStr">
        <is>
          <t>一次性</t>
        </is>
      </c>
      <c r="F16" s="18" t="n">
        <v>300</v>
      </c>
      <c r="G16" s="18" t="n">
        <v>300</v>
      </c>
      <c r="H16" s="19" t="n">
        <v>1</v>
      </c>
      <c r="I16" s="20">
        <f>F16*H16</f>
        <v/>
      </c>
      <c r="J16" s="21">
        <f>G16*H16</f>
        <v/>
      </c>
      <c r="K16" s="22" t="inlineStr">
        <is>
          <t>成本视款式复杂度而定；此处¥300为保守中间估算</t>
        </is>
      </c>
    </row>
    <row r="17" ht="42" customHeight="1">
      <c r="A17" s="4" t="inlineStr">
        <is>
          <t>产品验证</t>
        </is>
      </c>
      <c r="B17" s="5" t="inlineStr">
        <is>
          <t>国际快递（寄样品）</t>
        </is>
      </c>
      <c r="C17" s="6" t="inlineStr">
        <is>
          <t>向意向B端客户寄送样品，约1次
DHL / EMS 计</t>
        </is>
      </c>
      <c r="D17" s="23" t="inlineStr">
        <is>
          <t>建议</t>
        </is>
      </c>
      <c r="E17" s="8" t="inlineStr">
        <is>
          <t>一次性</t>
        </is>
      </c>
      <c r="F17" s="9" t="n">
        <v>250</v>
      </c>
      <c r="G17" s="9" t="n">
        <v>250</v>
      </c>
      <c r="H17" s="10" t="n">
        <v>1</v>
      </c>
      <c r="I17" s="11">
        <f>F17*H17</f>
        <v/>
      </c>
      <c r="J17" s="12">
        <f>G17*H17</f>
        <v/>
      </c>
      <c r="K17" s="13" t="inlineStr">
        <is>
          <t>DHL约¥200-350/次；样品邮寄是促成首单的关键动作</t>
        </is>
      </c>
    </row>
    <row r="18" ht="42" customHeight="1">
      <c r="A18" s="14" t="inlineStr">
        <is>
          <t>流量推广</t>
        </is>
      </c>
      <c r="B18" s="15" t="inlineStr">
        <is>
          <t>社媒测试投流</t>
        </is>
      </c>
      <c r="C18" s="16" t="inlineStr">
        <is>
          <t>方案A: 全靠自然流量（0付费）
方案B: TikTok/Meta 第2月小额测试</t>
        </is>
      </c>
      <c r="D18" s="24" t="inlineStr">
        <is>
          <t>可选</t>
        </is>
      </c>
      <c r="E18" s="17" t="inlineStr">
        <is>
          <t>一次性</t>
        </is>
      </c>
      <c r="F18" s="18" t="n">
        <v>0</v>
      </c>
      <c r="G18" s="18" t="n">
        <v>500</v>
      </c>
      <c r="H18" s="19" t="n">
        <v>1</v>
      </c>
      <c r="I18" s="20">
        <f>F18*H18</f>
        <v/>
      </c>
      <c r="J18" s="21">
        <f>G18*H18</f>
        <v/>
      </c>
      <c r="K18" s="22" t="inlineStr">
        <is>
          <t>建议先积累10+条自然内容验证方向，再用付费放大</t>
        </is>
      </c>
    </row>
    <row r="19" ht="26" customHeight="1">
      <c r="A19" s="4" t="inlineStr">
        <is>
          <t>效率工具</t>
        </is>
      </c>
      <c r="B19" s="5" t="inlineStr">
        <is>
          <t>HubSpot CRM（免费）</t>
        </is>
      </c>
      <c r="C19" s="6" t="inlineStr">
        <is>
          <t>B端客户线索管理与跟进记录</t>
        </is>
      </c>
      <c r="D19" s="23" t="inlineStr">
        <is>
          <t>建议</t>
        </is>
      </c>
      <c r="E19" s="8" t="inlineStr">
        <is>
          <t>免费</t>
        </is>
      </c>
      <c r="F19" s="9" t="n">
        <v>0</v>
      </c>
      <c r="G19" s="9" t="n">
        <v>0</v>
      </c>
      <c r="H19" s="10" t="n">
        <v>1</v>
      </c>
      <c r="I19" s="11">
        <f>F19*H19</f>
        <v/>
      </c>
      <c r="J19" s="12">
        <f>G19*H19</f>
        <v/>
      </c>
      <c r="K19" s="13" t="inlineStr">
        <is>
          <t>免费版含联系人管理/邮件跟进/销售管道视图</t>
        </is>
      </c>
    </row>
    <row r="20" ht="26" customHeight="1">
      <c r="A20" s="14" t="inlineStr">
        <is>
          <t>效率工具</t>
        </is>
      </c>
      <c r="B20" s="15" t="inlineStr">
        <is>
          <t>Google Analytics</t>
        </is>
      </c>
      <c r="C20" s="16" t="inlineStr">
        <is>
          <t>独立站流量与用户行为分析，必装，完全免费</t>
        </is>
      </c>
      <c r="D20" s="7" t="inlineStr">
        <is>
          <t>必须</t>
        </is>
      </c>
      <c r="E20" s="17" t="inlineStr">
        <is>
          <t>免费</t>
        </is>
      </c>
      <c r="F20" s="18" t="n">
        <v>0</v>
      </c>
      <c r="G20" s="18" t="n">
        <v>0</v>
      </c>
      <c r="H20" s="19" t="n">
        <v>1</v>
      </c>
      <c r="I20" s="20">
        <f>F20*H20</f>
        <v/>
      </c>
      <c r="J20" s="21">
        <f>G20*H20</f>
        <v/>
      </c>
      <c r="K20" s="22" t="inlineStr">
        <is>
          <t>与独立站代码集成，零成本，Phase 1必须配置</t>
        </is>
      </c>
    </row>
    <row r="21" ht="30" customHeight="1">
      <c r="A21" s="26" t="inlineStr">
        <is>
          <t>合计（2个月全部预算）</t>
        </is>
      </c>
      <c r="I21" s="27">
        <f>SUM(I5:I20)</f>
        <v/>
      </c>
      <c r="J21" s="27">
        <f>SUM(J5:J20)</f>
        <v/>
      </c>
      <c r="K21" s="28" t="inlineStr"/>
    </row>
    <row r="23" ht="30" customHeight="1">
      <c r="A23" s="29" t="inlineStr">
        <is>
          <t>⚡ 方案A = Vercel免费服务器 + Cursor免费版 + Canva免费版 + 无LinkedIn Premium + 不投流  ·  方案B = 腾讯云¥99/月 + Cursor Pro + Canva Pro + LinkedIn Premium + ¥500测试投流  ·  人工薪资、样品生产成本（非打样）、后端交付均不计入</t>
        </is>
      </c>
    </row>
  </sheetData>
  <mergeCells count="4">
    <mergeCell ref="A23:K23"/>
    <mergeCell ref="A1:J1"/>
    <mergeCell ref="A21:H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36" customWidth="1" min="4" max="4"/>
  </cols>
  <sheetData>
    <row r="1" ht="40" customHeight="1">
      <c r="A1" s="30" t="inlineStr">
        <is>
          <t>服装独立站出海 · 一期成本总览（2个月）</t>
        </is>
      </c>
    </row>
    <row r="2" ht="20" customHeight="1">
      <c r="A2" s="31" t="inlineStr">
        <is>
          <t>两人团队  ·  服装POD独立站  ·  目标：1-2个月内首单成交  ·  人工成本不计入</t>
        </is>
      </c>
    </row>
    <row r="3" ht="14" customHeight="1"/>
    <row r="4" ht="24" customHeight="1">
      <c r="A4" s="32" t="inlineStr">
        <is>
          <t>方案 A  ·  保守最低成本</t>
        </is>
      </c>
      <c r="C4" s="33" t="inlineStr">
        <is>
          <t>方案 B  ·  标准推荐配置</t>
        </is>
      </c>
    </row>
    <row r="5" ht="48" customHeight="1">
      <c r="A5" s="34">
        <f>明细!I21</f>
        <v/>
      </c>
      <c r="C5" s="35">
        <f>明细!J21</f>
        <v/>
      </c>
    </row>
    <row r="6" ht="18" customHeight="1">
      <c r="A6" s="36" t="inlineStr">
        <is>
          <t>Vercel免费版 · Cursor免费 · Canva免费 · 无LinkedIn · 全自然流量</t>
        </is>
      </c>
      <c r="C6" s="37" t="inlineStr">
        <is>
          <t>腾讯云 · Cursor Pro · Canva Pro · LinkedIn Premium · ¥500测试投流</t>
        </is>
      </c>
    </row>
    <row r="7" ht="12" customHeight="1"/>
    <row r="8" ht="26" customHeight="1">
      <c r="A8" s="3" t="inlineStr">
        <is>
          <t>分类</t>
        </is>
      </c>
      <c r="B8" s="3" t="inlineStr">
        <is>
          <t>方案A小计</t>
        </is>
      </c>
      <c r="C8" s="3" t="inlineStr">
        <is>
          <t>方案B小计</t>
        </is>
      </c>
      <c r="D8" s="3" t="inlineStr">
        <is>
          <t>主要差异说明</t>
        </is>
      </c>
    </row>
    <row r="9" ht="22" customHeight="1">
      <c r="A9" s="38" t="inlineStr">
        <is>
          <t>建站基础</t>
        </is>
      </c>
      <c r="B9" s="39">
        <f>SUMIF(明细!$A$5:$A$20,A9,明细!$I$5:$I$20)</f>
        <v/>
      </c>
      <c r="C9" s="40">
        <f>SUMIF(明细!$A$5:$A$20,A9,明细!$J$5:$J$20)</f>
        <v/>
      </c>
      <c r="D9" s="13" t="inlineStr">
        <is>
          <t>方案A用Vercel免费，方案B腾讯云¥99/月</t>
        </is>
      </c>
    </row>
    <row r="10" ht="22" customHeight="1">
      <c r="A10" s="41" t="inlineStr">
        <is>
          <t>AI开发工具</t>
        </is>
      </c>
      <c r="B10" s="42">
        <f>SUMIF(明细!$A$5:$A$20,A10,明细!$I$5:$I$20)</f>
        <v/>
      </c>
      <c r="C10" s="43">
        <f>SUMIF(明细!$A$5:$A$20,A10,明细!$J$5:$J$20)</f>
        <v/>
      </c>
      <c r="D10" s="22" t="inlineStr">
        <is>
          <t>方案A用Cursor免费额度，方案B Pro $20/月×2</t>
        </is>
      </c>
    </row>
    <row r="11" ht="22" customHeight="1">
      <c r="A11" s="38" t="inlineStr">
        <is>
          <t>设计工具</t>
        </is>
      </c>
      <c r="B11" s="39">
        <f>SUMIF(明细!$A$5:$A$20,A11,明细!$I$5:$I$20)</f>
        <v/>
      </c>
      <c r="C11" s="40">
        <f>SUMIF(明细!$A$5:$A$20,A11,明细!$J$5:$J$20)</f>
        <v/>
      </c>
      <c r="D11" s="13" t="inlineStr">
        <is>
          <t>方案A Canva免费版，方案B Pro ¥99/月×2</t>
        </is>
      </c>
    </row>
    <row r="12" ht="22" customHeight="1">
      <c r="A12" s="41" t="inlineStr">
        <is>
          <t>网络工具</t>
        </is>
      </c>
      <c r="B12" s="42">
        <f>SUMIF(明细!$A$5:$A$20,A12,明细!$I$5:$I$20)</f>
        <v/>
      </c>
      <c r="C12" s="43">
        <f>SUMIF(明细!$A$5:$A$20,A12,明细!$J$5:$J$20)</f>
        <v/>
      </c>
      <c r="D12" s="22" t="inlineStr">
        <is>
          <t>两方案相同（硬性必需，不可省）</t>
        </is>
      </c>
    </row>
    <row r="13" ht="22" customHeight="1">
      <c r="A13" s="38" t="inlineStr">
        <is>
          <t>社媒账号</t>
        </is>
      </c>
      <c r="B13" s="39">
        <f>SUMIF(明细!$A$5:$A$20,A13,明细!$I$5:$I$20)</f>
        <v/>
      </c>
      <c r="C13" s="40">
        <f>SUMIF(明细!$A$5:$A$20,A13,明细!$J$5:$J$20)</f>
        <v/>
      </c>
      <c r="D13" s="13" t="inlineStr">
        <is>
          <t>方案B含LinkedIn Premium ¥290/月×2</t>
        </is>
      </c>
    </row>
    <row r="14" ht="22" customHeight="1">
      <c r="A14" s="41" t="inlineStr">
        <is>
          <t>商务通讯</t>
        </is>
      </c>
      <c r="B14" s="42">
        <f>SUMIF(明细!$A$5:$A$20,A14,明细!$I$5:$I$20)</f>
        <v/>
      </c>
      <c r="C14" s="43">
        <f>SUMIF(明细!$A$5:$A$20,A14,明细!$J$5:$J$20)</f>
        <v/>
      </c>
      <c r="D14" s="22" t="inlineStr">
        <is>
          <t>两方案均免费（Zoho+WhatsApp）</t>
        </is>
      </c>
    </row>
    <row r="15" ht="22" customHeight="1">
      <c r="A15" s="38" t="inlineStr">
        <is>
          <t>产品验证</t>
        </is>
      </c>
      <c r="B15" s="39">
        <f>SUMIF(明细!$A$5:$A$20,A15,明细!$I$5:$I$20)</f>
        <v/>
      </c>
      <c r="C15" s="40">
        <f>SUMIF(明细!$A$5:$A$20,A15,明细!$J$5:$J$20)</f>
        <v/>
      </c>
      <c r="D15" s="13" t="inlineStr">
        <is>
          <t>两方案相同（打样¥300+快递¥250）</t>
        </is>
      </c>
    </row>
    <row r="16" ht="22" customHeight="1">
      <c r="A16" s="41" t="inlineStr">
        <is>
          <t>流量推广</t>
        </is>
      </c>
      <c r="B16" s="42">
        <f>SUMIF(明细!$A$5:$A$20,A16,明细!$I$5:$I$20)</f>
        <v/>
      </c>
      <c r="C16" s="43">
        <f>SUMIF(明细!$A$5:$A$20,A16,明细!$J$5:$J$20)</f>
        <v/>
      </c>
      <c r="D16" s="22" t="inlineStr">
        <is>
          <t>方案A全靠自然流量，方案B第2月¥500测试</t>
        </is>
      </c>
    </row>
    <row r="17" ht="22" customHeight="1">
      <c r="A17" s="38" t="inlineStr">
        <is>
          <t>效率工具</t>
        </is>
      </c>
      <c r="B17" s="39">
        <f>SUMIF(明细!$A$5:$A$20,A17,明细!$I$5:$I$20)</f>
        <v/>
      </c>
      <c r="C17" s="40">
        <f>SUMIF(明细!$A$5:$A$20,A17,明细!$J$5:$J$20)</f>
        <v/>
      </c>
      <c r="D17" s="13" t="inlineStr">
        <is>
          <t>两方案均免费（HubSpot+Google Analytics）</t>
        </is>
      </c>
    </row>
    <row r="18" ht="28" customHeight="1">
      <c r="A18" s="26" t="inlineStr">
        <is>
          <t>两个月总预算</t>
        </is>
      </c>
      <c r="B18" s="44">
        <f>明细!I21</f>
        <v/>
      </c>
      <c r="C18" s="45">
        <f>明细!J21</f>
        <v/>
      </c>
      <c r="D18" s="28" t="inlineStr"/>
    </row>
    <row r="19" ht="12" customHeight="1"/>
    <row r="20" ht="20" customHeight="1">
      <c r="A20" s="46" t="inlineStr">
        <is>
          <t>📌 未包含的成本</t>
        </is>
      </c>
    </row>
    <row r="21" ht="18" customHeight="1">
      <c r="A21" s="13" t="inlineStr">
        <is>
          <t>人工薪资（2人团队工资/劳务）</t>
        </is>
      </c>
    </row>
    <row r="22" ht="18" customHeight="1">
      <c r="A22" s="22" t="inlineStr">
        <is>
          <t>正式订单生产成本（客户付款后按需生产）</t>
        </is>
      </c>
    </row>
    <row r="23" ht="18" customHeight="1">
      <c r="A23" s="13" t="inlineStr">
        <is>
          <t>后端交付及客户成交（外部团队承接，不计入）</t>
        </is>
      </c>
    </row>
    <row r="24" ht="18" customHeight="1">
      <c r="A24" s="22" t="inlineStr">
        <is>
          <t>网站上线后的持续运营/维护人时</t>
        </is>
      </c>
    </row>
    <row r="25" ht="18" customHeight="1">
      <c r="A25" s="47" t="inlineStr"/>
    </row>
    <row r="26" ht="20" customHeight="1">
      <c r="A26" s="46" t="inlineStr">
        <is>
          <t>💡 成本控制建议</t>
        </is>
      </c>
    </row>
    <row r="27" ht="18" customHeight="1">
      <c r="A27" s="13" t="inlineStr">
        <is>
          <t>第1个月优先走方案A，验证路径后第2个月按需升级方案B工具</t>
        </is>
      </c>
    </row>
    <row r="28" ht="18" customHeight="1">
      <c r="A28" s="22" t="inlineStr">
        <is>
          <t>LinkedIn Premium 可先免费版+手动搜索，如效率太低再开Pro</t>
        </is>
      </c>
    </row>
    <row r="29" ht="18" customHeight="1">
      <c r="A29" s="13" t="inlineStr">
        <is>
          <t>投流预算建议等有5-10条高质量内容后再开启，避免浪费</t>
        </is>
      </c>
    </row>
    <row r="30" ht="18" customHeight="1">
      <c r="A30" s="22" t="inlineStr">
        <is>
          <t>Cursor免费版+免费Claude/GPT配合使用，可显著延迟付费升级时间</t>
        </is>
      </c>
    </row>
  </sheetData>
  <mergeCells count="19">
    <mergeCell ref="A23:D23"/>
    <mergeCell ref="C6:D6"/>
    <mergeCell ref="A22:D22"/>
    <mergeCell ref="A20:D20"/>
    <mergeCell ref="C5:D5"/>
    <mergeCell ref="A29:D29"/>
    <mergeCell ref="A28:D28"/>
    <mergeCell ref="A6:B6"/>
    <mergeCell ref="C4:D4"/>
    <mergeCell ref="A30:D30"/>
    <mergeCell ref="A24:D24"/>
    <mergeCell ref="A1:D1"/>
    <mergeCell ref="A5:B5"/>
    <mergeCell ref="A25:D25"/>
    <mergeCell ref="A4:B4"/>
    <mergeCell ref="A27:D27"/>
    <mergeCell ref="A26:D26"/>
    <mergeCell ref="A21:D2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42" customWidth="1" min="3" max="3"/>
    <col width="18" customWidth="1" min="4" max="4"/>
  </cols>
  <sheetData>
    <row r="1" ht="36" customHeight="1">
      <c r="A1" s="1" t="inlineStr">
        <is>
          <t>一期启动成本 · 必要性审核与补充说明</t>
        </is>
      </c>
    </row>
    <row r="2" ht="20" customHeight="1">
      <c r="A2" s="31" t="inlineStr">
        <is>
          <t>审核您提到的每一项，并补充您可能遗漏的关键成本</t>
        </is>
      </c>
    </row>
    <row r="3" ht="12" customHeight="1"/>
    <row r="4" ht="24" customHeight="1">
      <c r="A4" s="48" t="inlineStr">
        <is>
          <t>您提到的项目  →  审核结论</t>
        </is>
      </c>
    </row>
    <row r="5" ht="22" customHeight="1">
      <c r="A5" s="3" t="inlineStr">
        <is>
          <t>您提到的项目</t>
        </is>
      </c>
      <c r="B5" s="3" t="inlineStr">
        <is>
          <t>结论</t>
        </is>
      </c>
      <c r="C5" s="3" t="inlineStr">
        <is>
          <t>说明</t>
        </is>
      </c>
      <c r="D5" s="3" t="inlineStr">
        <is>
          <t>预算影响</t>
        </is>
      </c>
    </row>
    <row r="6" ht="36" customHeight="1">
      <c r="A6" s="5" t="inlineStr">
        <is>
          <t>Vibecoding 建站方式</t>
        </is>
      </c>
      <c r="B6" s="7" t="inlineStr">
        <is>
          <t>✅ 完全可行</t>
        </is>
      </c>
      <c r="C6" s="4" t="inlineStr">
        <is>
          <t>对展示站+表单场景非常合适。推荐 Cursor + Next.js/React + Vercel 部署。无需传统雇佣开发，大幅降低技术门槛与费用。</t>
        </is>
      </c>
      <c r="D6" s="49" t="inlineStr">
        <is>
          <t>需AI编程工具（可免费）</t>
        </is>
      </c>
    </row>
    <row r="7" ht="52" customHeight="1">
      <c r="A7" s="15" t="inlineStr">
        <is>
          <t>腾讯云服务器</t>
        </is>
      </c>
      <c r="B7" s="23" t="inlineStr">
        <is>
          <t>⚠️ 可替代</t>
        </is>
      </c>
      <c r="C7" s="14" t="inlineStr">
        <is>
          <t>对纯前端展示站，Vercel/Netlify 免费版已完全满足需求（自动HTTPS/CDN/全球节点）。腾讯云更适合有复杂后端需求的场景。Phase 1 推荐先用免费方案。</t>
        </is>
      </c>
      <c r="D7" s="50" t="inlineStr">
        <is>
          <t>方案A省¥198</t>
        </is>
      </c>
    </row>
    <row r="8" ht="36" customHeight="1">
      <c r="A8" s="5" t="inlineStr">
        <is>
          <t>购买域名</t>
        </is>
      </c>
      <c r="B8" s="7" t="inlineStr">
        <is>
          <t>✅ 必须</t>
        </is>
      </c>
      <c r="C8" s="4" t="inlineStr">
        <is>
          <t>无条件必须。建议购买 .com 域名，约¥70-100/年。推荐 Namecheap（国际结算）或阿里云（国内付款方便）。</t>
        </is>
      </c>
      <c r="D8" s="49" t="inlineStr">
        <is>
          <t>约¥85，两方案相同</t>
        </is>
      </c>
    </row>
    <row r="9" ht="36" customHeight="1">
      <c r="A9" s="15" t="inlineStr">
        <is>
          <t>TK等社媒账号从0建设</t>
        </is>
      </c>
      <c r="B9" s="7" t="inlineStr">
        <is>
          <t>✅ 必须，但账号注册本身免费</t>
        </is>
      </c>
      <c r="C9" s="14" t="inlineStr">
        <is>
          <t>TikTok国际版、Instagram、LinkedIn 账号注册均免费。真实成本是注册TikTok国际版需要境外手机号（¥20-50）。</t>
        </is>
      </c>
      <c r="D9" s="50" t="inlineStr">
        <is>
          <t>境外号¥30，其余免费</t>
        </is>
      </c>
    </row>
    <row r="10" ht="52" customHeight="1">
      <c r="A10" s="5" t="inlineStr">
        <is>
          <t>社媒认证费用</t>
        </is>
      </c>
      <c r="B10" s="23" t="inlineStr">
        <is>
          <t>⚠️ Phase 1 不建议</t>
        </is>
      </c>
      <c r="C10" s="4" t="inlineStr">
        <is>
          <t>TikTok / Instagram 普通创作者认证免费；付费认证（如INS蓝V $14.99/月）对Phase 1 ROI极低，不建议纳入预算。真正的成本是境外手机号注册费。</t>
        </is>
      </c>
      <c r="D10" s="49" t="inlineStr">
        <is>
          <t>已从预算中排除</t>
        </is>
      </c>
    </row>
    <row r="11" ht="36" customHeight="1">
      <c r="A11" s="15" t="inlineStr">
        <is>
          <t>两人团队</t>
        </is>
      </c>
      <c r="B11" s="7" t="inlineStr">
        <is>
          <t>✅ 合理</t>
        </is>
      </c>
      <c r="C11" s="14" t="inlineStr">
        <is>
          <t>2人分工：1人负责内容运营+社媒，1人负责建站+设计+B2B开发。人工薪资不计入工具成本预算，按团队实际情况决定。</t>
        </is>
      </c>
      <c r="D11" s="50" t="inlineStr">
        <is>
          <t>不计入工具预算</t>
        </is>
      </c>
    </row>
    <row r="12" ht="36" customHeight="1">
      <c r="A12" s="5" t="inlineStr">
        <is>
          <t>外部团队负责成交，不计入</t>
        </is>
      </c>
      <c r="B12" s="7" t="inlineStr">
        <is>
          <t>✅ 合理</t>
        </is>
      </c>
      <c r="C12" s="4" t="inlineStr">
        <is>
          <t>独立站定位为展示+询盘入口，外部团队处理后续谈单成交。简化了独立站功能需求（无需复杂购物车/支付），建站成本可控。</t>
        </is>
      </c>
      <c r="D12" s="49" t="inlineStr">
        <is>
          <t>已从预算中排除</t>
        </is>
      </c>
    </row>
    <row r="14" ht="10" customHeight="1">
      <c r="A14" s="51" t="inlineStr"/>
    </row>
    <row r="15" ht="24" customHeight="1">
      <c r="A15" s="48" t="inlineStr">
        <is>
          <t>补充项目  →  您可能遗漏的关键成本</t>
        </is>
      </c>
    </row>
    <row r="16" ht="22" customHeight="1">
      <c r="A16" s="3" t="inlineStr">
        <is>
          <t>补充项目</t>
        </is>
      </c>
      <c r="B16" s="3" t="inlineStr">
        <is>
          <t>优先级</t>
        </is>
      </c>
      <c r="C16" s="3" t="inlineStr">
        <is>
          <t>原因说明</t>
        </is>
      </c>
      <c r="D16" s="3" t="inlineStr">
        <is>
          <t>预算影响</t>
        </is>
      </c>
    </row>
    <row r="17" ht="36" customHeight="1">
      <c r="A17" s="5" t="inlineStr">
        <is>
          <t>VPN 工具（2人）</t>
        </is>
      </c>
      <c r="B17" s="25" t="inlineStr">
        <is>
          <t>🔴 必须</t>
        </is>
      </c>
      <c r="C17" s="4" t="inlineStr">
        <is>
          <t>从国内运营海外TikTok/LinkedIn/Instagram是硬性需求，您提到社媒运营但未提VPN成本。¥30/人/月，2人合计¥60/月。</t>
        </is>
      </c>
      <c r="D17" s="49" t="inlineStr">
        <is>
          <t>¥120（2个月）</t>
        </is>
      </c>
    </row>
    <row r="18" ht="36" customHeight="1">
      <c r="A18" s="15" t="inlineStr">
        <is>
          <t>AI 编程助手（Cursor等）</t>
        </is>
      </c>
      <c r="B18" s="23" t="inlineStr">
        <is>
          <t>🟡 建议</t>
        </is>
      </c>
      <c r="C18" s="14" t="inlineStr">
        <is>
          <t>您说要用Vibecoding方式建站，但未提AI工具成本。Cursor免费版有月度配额限制；Pro版$20/月可确保建站期间不断流。</t>
        </is>
      </c>
      <c r="D18" s="50" t="inlineStr">
        <is>
          <t>方案B +¥290</t>
        </is>
      </c>
    </row>
    <row r="19" ht="36" customHeight="1">
      <c r="A19" s="5" t="inlineStr">
        <is>
          <t>设计工具（Canva Pro）</t>
        </is>
      </c>
      <c r="B19" s="23" t="inlineStr">
        <is>
          <t>🟡 建议</t>
        </is>
      </c>
      <c r="C19" s="4" t="inlineStr">
        <is>
          <t>社媒内容生产、产品主图制作需要设计工具。Canva免费版功能受限，Pro版¥99/月含背景去除、品牌套件等核心功能。</t>
        </is>
      </c>
      <c r="D19" s="49" t="inlineStr">
        <is>
          <t>方案B +¥198</t>
        </is>
      </c>
    </row>
    <row r="20" ht="36" customHeight="1">
      <c r="A20" s="15" t="inlineStr">
        <is>
          <t>POD 样品打样</t>
        </is>
      </c>
      <c r="B20" s="23" t="inlineStr">
        <is>
          <t>🟡 建议</t>
        </is>
      </c>
      <c r="C20" s="14" t="inlineStr">
        <is>
          <t>推广前必须验证实物品质。POD产品与展示图之间存在差异，如果没有打过样直接推广，可能产生客诉影响口碑。建议首批打3-5件。</t>
        </is>
      </c>
      <c r="D20" s="50" t="inlineStr">
        <is>
          <t>¥300（一次性）</t>
        </is>
      </c>
    </row>
    <row r="21" ht="36" customHeight="1">
      <c r="A21" s="5" t="inlineStr">
        <is>
          <t>国际快递（寄样品）</t>
        </is>
      </c>
      <c r="B21" s="23" t="inlineStr">
        <is>
          <t>🟡 建议</t>
        </is>
      </c>
      <c r="C21" s="4" t="inlineStr">
        <is>
          <t>B2B询盘中，买家几乎100%要求看样品。能主动寄样是促成首单的关键信任动作，约¥200-350/次。</t>
        </is>
      </c>
      <c r="D21" s="49" t="inlineStr">
        <is>
          <t>¥250（约1次）</t>
        </is>
      </c>
    </row>
    <row r="22" ht="36" customHeight="1">
      <c r="A22" s="15" t="inlineStr">
        <is>
          <t>商务邮箱（Zoho免费）</t>
        </is>
      </c>
      <c r="B22" s="7" t="inlineStr">
        <is>
          <t>🟢 免费</t>
        </is>
      </c>
      <c r="C22" s="14" t="inlineStr">
        <is>
          <t>brand@yourdomain.com 对B端客户信任度至关重要。Zoho Mail 1用户免费版完全满足，零额外成本。</t>
        </is>
      </c>
      <c r="D22" s="50" t="inlineStr">
        <is>
          <t>¥0（免费）</t>
        </is>
      </c>
    </row>
    <row r="23" ht="36" customHeight="1">
      <c r="A23" s="5" t="inlineStr">
        <is>
          <t>LinkedIn Premium（可选）</t>
        </is>
      </c>
      <c r="B23" s="52" t="inlineStr">
        <is>
          <t>🔵 可选</t>
        </is>
      </c>
      <c r="C23" s="4" t="inlineStr">
        <is>
          <t>B2B主动开发时，Premium的InMail功能显著提升触达率。如果预算有限可先用免费版，成交后再考虑升级。</t>
        </is>
      </c>
      <c r="D23" s="49" t="inlineStr">
        <is>
          <t>方案B +¥580</t>
        </is>
      </c>
    </row>
  </sheetData>
  <mergeCells count="5">
    <mergeCell ref="A1:D1"/>
    <mergeCell ref="A4:D4"/>
    <mergeCell ref="A15:D15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2026-05-26T10:29:02Z</dcterms:created>
  <dcterms:modified xmlns:dcterms="http://purl.org/dc/terms/" xmlns:xsi="http://www.w3.org/2001/XMLSchema-instance" xsi:type="dcterms:W3CDTF">2026-05-26T10:29:02Z</dcterms:modified>
</cp:coreProperties>
</file>